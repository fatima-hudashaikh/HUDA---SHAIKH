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Q1\Documents\"/>
    </mc:Choice>
  </mc:AlternateContent>
  <bookViews>
    <workbookView xWindow="0" yWindow="0" windowWidth="28800" windowHeight="12300" activeTab="1"/>
  </bookViews>
  <sheets>
    <sheet name="Sheet2" sheetId="2" r:id="rId1"/>
    <sheet name="Sheet1" sheetId="1" r:id="rId2"/>
  </sheets>
  <calcPr calcId="162913"/>
  <pivotCaches>
    <pivotCache cacheId="1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2" i="1" l="1"/>
  <c r="C20" i="1"/>
  <c r="Q21" i="1"/>
  <c r="F25" i="1"/>
  <c r="M13" i="1"/>
  <c r="M14" i="1"/>
  <c r="M15" i="1"/>
  <c r="M16" i="1"/>
  <c r="M17" i="1"/>
  <c r="M18" i="1"/>
  <c r="M19" i="1"/>
  <c r="M12" i="1"/>
  <c r="L13" i="1"/>
  <c r="L14" i="1"/>
  <c r="L15" i="1"/>
  <c r="L16" i="1"/>
  <c r="L17" i="1"/>
  <c r="L18" i="1"/>
  <c r="L19" i="1"/>
  <c r="L12" i="1"/>
  <c r="N13" i="1"/>
  <c r="N14" i="1"/>
  <c r="N15" i="1"/>
  <c r="N16" i="1"/>
  <c r="N17" i="1"/>
  <c r="N18" i="1"/>
  <c r="N19" i="1"/>
  <c r="N12" i="1"/>
  <c r="P12" i="1"/>
  <c r="O12" i="1"/>
  <c r="O13" i="1"/>
  <c r="P13" i="1" s="1"/>
  <c r="O14" i="1"/>
  <c r="P14" i="1" s="1"/>
  <c r="O15" i="1"/>
  <c r="P15" i="1" s="1"/>
  <c r="O16" i="1"/>
  <c r="P16" i="1" s="1"/>
  <c r="O17" i="1"/>
  <c r="P17" i="1" s="1"/>
  <c r="O18" i="1"/>
  <c r="P18" i="1" s="1"/>
  <c r="O19" i="1"/>
  <c r="P19" i="1" s="1"/>
</calcChain>
</file>

<file path=xl/sharedStrings.xml><?xml version="1.0" encoding="utf-8"?>
<sst xmlns="http://schemas.openxmlformats.org/spreadsheetml/2006/main" count="43" uniqueCount="32">
  <si>
    <t>Roll No</t>
  </si>
  <si>
    <t>Student Name</t>
  </si>
  <si>
    <t>Class</t>
  </si>
  <si>
    <t>Maths</t>
  </si>
  <si>
    <t>Science</t>
  </si>
  <si>
    <t>English</t>
  </si>
  <si>
    <t>Social Studies</t>
  </si>
  <si>
    <t>Computer</t>
  </si>
  <si>
    <t>Total</t>
  </si>
  <si>
    <t>Percentage</t>
  </si>
  <si>
    <t>Aarav Sharma</t>
  </si>
  <si>
    <t>Ananya Verma</t>
  </si>
  <si>
    <t>Rahul Singh</t>
  </si>
  <si>
    <t>Priya Patel</t>
  </si>
  <si>
    <t>Kabir Mehta</t>
  </si>
  <si>
    <t>Neha Gupta</t>
  </si>
  <si>
    <t>Arjun Kumar</t>
  </si>
  <si>
    <t>Ishita Roy</t>
  </si>
  <si>
    <t>STATES</t>
  </si>
  <si>
    <t>Minimum Marks</t>
  </si>
  <si>
    <t>Maximum Marks</t>
  </si>
  <si>
    <t>ishita roy</t>
  </si>
  <si>
    <t>VLOOKUP FORMULA:</t>
  </si>
  <si>
    <t>COUNT IF:</t>
  </si>
  <si>
    <t>COUNT:</t>
  </si>
  <si>
    <t>SUMIF:</t>
  </si>
  <si>
    <t>Grand Total</t>
  </si>
  <si>
    <t>Row Labels</t>
  </si>
  <si>
    <t>Sum of Total</t>
  </si>
  <si>
    <t>Sum of Percentage</t>
  </si>
  <si>
    <t>Count of STATES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</si>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</sst>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8"/>
      <color theme="0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3" borderId="0" xfId="0" applyFill="1"/>
    <xf numFmtId="0" fontId="1" fillId="5" borderId="1" xfId="0" applyFont="1" applyFill="1" applyBorder="1"/>
    <xf numFmtId="0" fontId="0" fillId="7" borderId="1" xfId="0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2" fillId="2" borderId="0" xfId="0" applyFont="1" applyFill="1"/>
    <xf numFmtId="0" fontId="0" fillId="3" borderId="0" xfId="0" applyFill="1" applyBorder="1"/>
    <xf numFmtId="0" fontId="2" fillId="8" borderId="0" xfId="0" applyFont="1" applyFill="1"/>
    <xf numFmtId="0" fontId="0" fillId="6" borderId="0" xfId="0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Sheet1!$D$12:$E$12</c:f>
              <c:strCache>
                <c:ptCount val="2"/>
                <c:pt idx="0">
                  <c:v>101</c:v>
                </c:pt>
                <c:pt idx="1">
                  <c:v>Aarav Sharma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Sheet1!$F$11:$P$11</c:f>
              <c:strCache>
                <c:ptCount val="11"/>
                <c:pt idx="0">
                  <c:v>Class</c:v>
                </c:pt>
                <c:pt idx="1">
                  <c:v>Maths</c:v>
                </c:pt>
                <c:pt idx="2">
                  <c:v>Science</c:v>
                </c:pt>
                <c:pt idx="3">
                  <c:v>English</c:v>
                </c:pt>
                <c:pt idx="4">
                  <c:v>Social Studies</c:v>
                </c:pt>
                <c:pt idx="5">
                  <c:v>Computer</c:v>
                </c:pt>
                <c:pt idx="6">
                  <c:v>Minimum Marks</c:v>
                </c:pt>
                <c:pt idx="7">
                  <c:v>Maximum Marks</c:v>
                </c:pt>
                <c:pt idx="8">
                  <c:v>Total</c:v>
                </c:pt>
                <c:pt idx="9">
                  <c:v>Percentage</c:v>
                </c:pt>
                <c:pt idx="10">
                  <c:v>STATES</c:v>
                </c:pt>
              </c:strCache>
            </c:strRef>
          </c:cat>
          <c:val>
            <c:numRef>
              <c:f>Sheet1!$F$12:$P$12</c:f>
              <c:numCache>
                <c:formatCode>General</c:formatCode>
                <c:ptCount val="11"/>
                <c:pt idx="0">
                  <c:v>10</c:v>
                </c:pt>
                <c:pt idx="1">
                  <c:v>78</c:v>
                </c:pt>
                <c:pt idx="2">
                  <c:v>85</c:v>
                </c:pt>
                <c:pt idx="3">
                  <c:v>74</c:v>
                </c:pt>
                <c:pt idx="4">
                  <c:v>80</c:v>
                </c:pt>
                <c:pt idx="5">
                  <c:v>88</c:v>
                </c:pt>
                <c:pt idx="6">
                  <c:v>74</c:v>
                </c:pt>
                <c:pt idx="7">
                  <c:v>88</c:v>
                </c:pt>
                <c:pt idx="8">
                  <c:v>405</c:v>
                </c:pt>
                <c:pt idx="9">
                  <c:v>15.6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9D-4221-ABC6-CEA494B72C92}"/>
            </c:ext>
          </c:extLst>
        </c:ser>
        <c:ser>
          <c:idx val="1"/>
          <c:order val="1"/>
          <c:tx>
            <c:strRef>
              <c:f>Sheet1!$D$13:$E$13</c:f>
              <c:strCache>
                <c:ptCount val="2"/>
                <c:pt idx="0">
                  <c:v>102</c:v>
                </c:pt>
                <c:pt idx="1">
                  <c:v>Ananya Verma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Sheet1!$F$11:$P$11</c:f>
              <c:strCache>
                <c:ptCount val="11"/>
                <c:pt idx="0">
                  <c:v>Class</c:v>
                </c:pt>
                <c:pt idx="1">
                  <c:v>Maths</c:v>
                </c:pt>
                <c:pt idx="2">
                  <c:v>Science</c:v>
                </c:pt>
                <c:pt idx="3">
                  <c:v>English</c:v>
                </c:pt>
                <c:pt idx="4">
                  <c:v>Social Studies</c:v>
                </c:pt>
                <c:pt idx="5">
                  <c:v>Computer</c:v>
                </c:pt>
                <c:pt idx="6">
                  <c:v>Minimum Marks</c:v>
                </c:pt>
                <c:pt idx="7">
                  <c:v>Maximum Marks</c:v>
                </c:pt>
                <c:pt idx="8">
                  <c:v>Total</c:v>
                </c:pt>
                <c:pt idx="9">
                  <c:v>Percentage</c:v>
                </c:pt>
                <c:pt idx="10">
                  <c:v>STATES</c:v>
                </c:pt>
              </c:strCache>
            </c:strRef>
          </c:cat>
          <c:val>
            <c:numRef>
              <c:f>Sheet1!$F$13:$P$13</c:f>
              <c:numCache>
                <c:formatCode>General</c:formatCode>
                <c:ptCount val="11"/>
                <c:pt idx="0">
                  <c:v>10</c:v>
                </c:pt>
                <c:pt idx="1">
                  <c:v>92</c:v>
                </c:pt>
                <c:pt idx="2">
                  <c:v>90</c:v>
                </c:pt>
                <c:pt idx="3">
                  <c:v>89</c:v>
                </c:pt>
                <c:pt idx="4">
                  <c:v>94</c:v>
                </c:pt>
                <c:pt idx="5">
                  <c:v>91</c:v>
                </c:pt>
                <c:pt idx="6">
                  <c:v>89</c:v>
                </c:pt>
                <c:pt idx="7">
                  <c:v>94</c:v>
                </c:pt>
                <c:pt idx="8">
                  <c:v>456</c:v>
                </c:pt>
                <c:pt idx="9">
                  <c:v>18.399999999999999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9D-4221-ABC6-CEA494B72C92}"/>
            </c:ext>
          </c:extLst>
        </c:ser>
        <c:ser>
          <c:idx val="2"/>
          <c:order val="2"/>
          <c:tx>
            <c:strRef>
              <c:f>Sheet1!$D$14:$E$14</c:f>
              <c:strCache>
                <c:ptCount val="2"/>
                <c:pt idx="0">
                  <c:v>103</c:v>
                </c:pt>
                <c:pt idx="1">
                  <c:v>Rahul Singh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Sheet1!$F$11:$P$11</c:f>
              <c:strCache>
                <c:ptCount val="11"/>
                <c:pt idx="0">
                  <c:v>Class</c:v>
                </c:pt>
                <c:pt idx="1">
                  <c:v>Maths</c:v>
                </c:pt>
                <c:pt idx="2">
                  <c:v>Science</c:v>
                </c:pt>
                <c:pt idx="3">
                  <c:v>English</c:v>
                </c:pt>
                <c:pt idx="4">
                  <c:v>Social Studies</c:v>
                </c:pt>
                <c:pt idx="5">
                  <c:v>Computer</c:v>
                </c:pt>
                <c:pt idx="6">
                  <c:v>Minimum Marks</c:v>
                </c:pt>
                <c:pt idx="7">
                  <c:v>Maximum Marks</c:v>
                </c:pt>
                <c:pt idx="8">
                  <c:v>Total</c:v>
                </c:pt>
                <c:pt idx="9">
                  <c:v>Percentage</c:v>
                </c:pt>
                <c:pt idx="10">
                  <c:v>STATES</c:v>
                </c:pt>
              </c:strCache>
            </c:strRef>
          </c:cat>
          <c:val>
            <c:numRef>
              <c:f>Sheet1!$F$14:$P$14</c:f>
              <c:numCache>
                <c:formatCode>General</c:formatCode>
                <c:ptCount val="11"/>
                <c:pt idx="0">
                  <c:v>10</c:v>
                </c:pt>
                <c:pt idx="1">
                  <c:v>55</c:v>
                </c:pt>
                <c:pt idx="2">
                  <c:v>60</c:v>
                </c:pt>
                <c:pt idx="3">
                  <c:v>58</c:v>
                </c:pt>
                <c:pt idx="4">
                  <c:v>62</c:v>
                </c:pt>
                <c:pt idx="5">
                  <c:v>65</c:v>
                </c:pt>
                <c:pt idx="6">
                  <c:v>55</c:v>
                </c:pt>
                <c:pt idx="7">
                  <c:v>65</c:v>
                </c:pt>
                <c:pt idx="8">
                  <c:v>300</c:v>
                </c:pt>
                <c:pt idx="9">
                  <c:v>11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9D-4221-ABC6-CEA494B72C92}"/>
            </c:ext>
          </c:extLst>
        </c:ser>
        <c:ser>
          <c:idx val="3"/>
          <c:order val="3"/>
          <c:tx>
            <c:strRef>
              <c:f>Sheet1!$D$15:$E$15</c:f>
              <c:strCache>
                <c:ptCount val="2"/>
                <c:pt idx="0">
                  <c:v>104</c:v>
                </c:pt>
                <c:pt idx="1">
                  <c:v>Priya Patel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Sheet1!$F$11:$P$11</c:f>
              <c:strCache>
                <c:ptCount val="11"/>
                <c:pt idx="0">
                  <c:v>Class</c:v>
                </c:pt>
                <c:pt idx="1">
                  <c:v>Maths</c:v>
                </c:pt>
                <c:pt idx="2">
                  <c:v>Science</c:v>
                </c:pt>
                <c:pt idx="3">
                  <c:v>English</c:v>
                </c:pt>
                <c:pt idx="4">
                  <c:v>Social Studies</c:v>
                </c:pt>
                <c:pt idx="5">
                  <c:v>Computer</c:v>
                </c:pt>
                <c:pt idx="6">
                  <c:v>Minimum Marks</c:v>
                </c:pt>
                <c:pt idx="7">
                  <c:v>Maximum Marks</c:v>
                </c:pt>
                <c:pt idx="8">
                  <c:v>Total</c:v>
                </c:pt>
                <c:pt idx="9">
                  <c:v>Percentage</c:v>
                </c:pt>
                <c:pt idx="10">
                  <c:v>STATES</c:v>
                </c:pt>
              </c:strCache>
            </c:strRef>
          </c:cat>
          <c:val>
            <c:numRef>
              <c:f>Sheet1!$F$15:$P$15</c:f>
              <c:numCache>
                <c:formatCode>General</c:formatCode>
                <c:ptCount val="11"/>
                <c:pt idx="0">
                  <c:v>10</c:v>
                </c:pt>
                <c:pt idx="1">
                  <c:v>88</c:v>
                </c:pt>
                <c:pt idx="2">
                  <c:v>84</c:v>
                </c:pt>
                <c:pt idx="3">
                  <c:v>90</c:v>
                </c:pt>
                <c:pt idx="4">
                  <c:v>86</c:v>
                </c:pt>
                <c:pt idx="5">
                  <c:v>89</c:v>
                </c:pt>
                <c:pt idx="6">
                  <c:v>84</c:v>
                </c:pt>
                <c:pt idx="7">
                  <c:v>90</c:v>
                </c:pt>
                <c:pt idx="8">
                  <c:v>437</c:v>
                </c:pt>
                <c:pt idx="9">
                  <c:v>17.599999999999998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9D-4221-ABC6-CEA494B72C92}"/>
            </c:ext>
          </c:extLst>
        </c:ser>
        <c:ser>
          <c:idx val="4"/>
          <c:order val="4"/>
          <c:tx>
            <c:strRef>
              <c:f>Sheet1!$D$16:$E$16</c:f>
              <c:strCache>
                <c:ptCount val="2"/>
                <c:pt idx="0">
                  <c:v>105</c:v>
                </c:pt>
                <c:pt idx="1">
                  <c:v>Kabir Mehta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Sheet1!$F$11:$P$11</c:f>
              <c:strCache>
                <c:ptCount val="11"/>
                <c:pt idx="0">
                  <c:v>Class</c:v>
                </c:pt>
                <c:pt idx="1">
                  <c:v>Maths</c:v>
                </c:pt>
                <c:pt idx="2">
                  <c:v>Science</c:v>
                </c:pt>
                <c:pt idx="3">
                  <c:v>English</c:v>
                </c:pt>
                <c:pt idx="4">
                  <c:v>Social Studies</c:v>
                </c:pt>
                <c:pt idx="5">
                  <c:v>Computer</c:v>
                </c:pt>
                <c:pt idx="6">
                  <c:v>Minimum Marks</c:v>
                </c:pt>
                <c:pt idx="7">
                  <c:v>Maximum Marks</c:v>
                </c:pt>
                <c:pt idx="8">
                  <c:v>Total</c:v>
                </c:pt>
                <c:pt idx="9">
                  <c:v>Percentage</c:v>
                </c:pt>
                <c:pt idx="10">
                  <c:v>STATES</c:v>
                </c:pt>
              </c:strCache>
            </c:strRef>
          </c:cat>
          <c:val>
            <c:numRef>
              <c:f>Sheet1!$F$16:$P$16</c:f>
              <c:numCache>
                <c:formatCode>General</c:formatCode>
                <c:ptCount val="11"/>
                <c:pt idx="0">
                  <c:v>10</c:v>
                </c:pt>
                <c:pt idx="1">
                  <c:v>35</c:v>
                </c:pt>
                <c:pt idx="2">
                  <c:v>40</c:v>
                </c:pt>
                <c:pt idx="3">
                  <c:v>38</c:v>
                </c:pt>
                <c:pt idx="4">
                  <c:v>42</c:v>
                </c:pt>
                <c:pt idx="5">
                  <c:v>45</c:v>
                </c:pt>
                <c:pt idx="6">
                  <c:v>35</c:v>
                </c:pt>
                <c:pt idx="7">
                  <c:v>45</c:v>
                </c:pt>
                <c:pt idx="8">
                  <c:v>200</c:v>
                </c:pt>
                <c:pt idx="9">
                  <c:v>7.0000000000000009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9D-4221-ABC6-CEA494B72C92}"/>
            </c:ext>
          </c:extLst>
        </c:ser>
        <c:ser>
          <c:idx val="5"/>
          <c:order val="5"/>
          <c:tx>
            <c:strRef>
              <c:f>Sheet1!$D$17:$E$17</c:f>
              <c:strCache>
                <c:ptCount val="2"/>
                <c:pt idx="0">
                  <c:v>106</c:v>
                </c:pt>
                <c:pt idx="1">
                  <c:v>Neha Gupta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Sheet1!$F$11:$P$11</c:f>
              <c:strCache>
                <c:ptCount val="11"/>
                <c:pt idx="0">
                  <c:v>Class</c:v>
                </c:pt>
                <c:pt idx="1">
                  <c:v>Maths</c:v>
                </c:pt>
                <c:pt idx="2">
                  <c:v>Science</c:v>
                </c:pt>
                <c:pt idx="3">
                  <c:v>English</c:v>
                </c:pt>
                <c:pt idx="4">
                  <c:v>Social Studies</c:v>
                </c:pt>
                <c:pt idx="5">
                  <c:v>Computer</c:v>
                </c:pt>
                <c:pt idx="6">
                  <c:v>Minimum Marks</c:v>
                </c:pt>
                <c:pt idx="7">
                  <c:v>Maximum Marks</c:v>
                </c:pt>
                <c:pt idx="8">
                  <c:v>Total</c:v>
                </c:pt>
                <c:pt idx="9">
                  <c:v>Percentage</c:v>
                </c:pt>
                <c:pt idx="10">
                  <c:v>STATES</c:v>
                </c:pt>
              </c:strCache>
            </c:strRef>
          </c:cat>
          <c:val>
            <c:numRef>
              <c:f>Sheet1!$F$17:$P$17</c:f>
              <c:numCache>
                <c:formatCode>General</c:formatCode>
                <c:ptCount val="11"/>
                <c:pt idx="0">
                  <c:v>10</c:v>
                </c:pt>
                <c:pt idx="1">
                  <c:v>67</c:v>
                </c:pt>
                <c:pt idx="2">
                  <c:v>72</c:v>
                </c:pt>
                <c:pt idx="3">
                  <c:v>70</c:v>
                </c:pt>
                <c:pt idx="4">
                  <c:v>68</c:v>
                </c:pt>
                <c:pt idx="5">
                  <c:v>75</c:v>
                </c:pt>
                <c:pt idx="6">
                  <c:v>67</c:v>
                </c:pt>
                <c:pt idx="7">
                  <c:v>75</c:v>
                </c:pt>
                <c:pt idx="8">
                  <c:v>352</c:v>
                </c:pt>
                <c:pt idx="9">
                  <c:v>13.4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19D-4221-ABC6-CEA494B72C92}"/>
            </c:ext>
          </c:extLst>
        </c:ser>
        <c:ser>
          <c:idx val="6"/>
          <c:order val="6"/>
          <c:tx>
            <c:strRef>
              <c:f>Sheet1!$D$18:$E$18</c:f>
              <c:strCache>
                <c:ptCount val="2"/>
                <c:pt idx="0">
                  <c:v>107</c:v>
                </c:pt>
                <c:pt idx="1">
                  <c:v>Arjun Kumar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Sheet1!$F$11:$P$11</c:f>
              <c:strCache>
                <c:ptCount val="11"/>
                <c:pt idx="0">
                  <c:v>Class</c:v>
                </c:pt>
                <c:pt idx="1">
                  <c:v>Maths</c:v>
                </c:pt>
                <c:pt idx="2">
                  <c:v>Science</c:v>
                </c:pt>
                <c:pt idx="3">
                  <c:v>English</c:v>
                </c:pt>
                <c:pt idx="4">
                  <c:v>Social Studies</c:v>
                </c:pt>
                <c:pt idx="5">
                  <c:v>Computer</c:v>
                </c:pt>
                <c:pt idx="6">
                  <c:v>Minimum Marks</c:v>
                </c:pt>
                <c:pt idx="7">
                  <c:v>Maximum Marks</c:v>
                </c:pt>
                <c:pt idx="8">
                  <c:v>Total</c:v>
                </c:pt>
                <c:pt idx="9">
                  <c:v>Percentage</c:v>
                </c:pt>
                <c:pt idx="10">
                  <c:v>STATES</c:v>
                </c:pt>
              </c:strCache>
            </c:strRef>
          </c:cat>
          <c:val>
            <c:numRef>
              <c:f>Sheet1!$F$18:$P$18</c:f>
              <c:numCache>
                <c:formatCode>General</c:formatCode>
                <c:ptCount val="11"/>
                <c:pt idx="0">
                  <c:v>10</c:v>
                </c:pt>
                <c:pt idx="1">
                  <c:v>81</c:v>
                </c:pt>
                <c:pt idx="2">
                  <c:v>79</c:v>
                </c:pt>
                <c:pt idx="3">
                  <c:v>85</c:v>
                </c:pt>
                <c:pt idx="4">
                  <c:v>83</c:v>
                </c:pt>
                <c:pt idx="5">
                  <c:v>80</c:v>
                </c:pt>
                <c:pt idx="6">
                  <c:v>79</c:v>
                </c:pt>
                <c:pt idx="7">
                  <c:v>85</c:v>
                </c:pt>
                <c:pt idx="8">
                  <c:v>408</c:v>
                </c:pt>
                <c:pt idx="9">
                  <c:v>16.2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19D-4221-ABC6-CEA494B72C92}"/>
            </c:ext>
          </c:extLst>
        </c:ser>
        <c:ser>
          <c:idx val="7"/>
          <c:order val="7"/>
          <c:tx>
            <c:strRef>
              <c:f>Sheet1!$D$19:$E$19</c:f>
              <c:strCache>
                <c:ptCount val="2"/>
                <c:pt idx="0">
                  <c:v>108</c:v>
                </c:pt>
                <c:pt idx="1">
                  <c:v>Ishita Roy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Sheet1!$F$11:$P$11</c:f>
              <c:strCache>
                <c:ptCount val="11"/>
                <c:pt idx="0">
                  <c:v>Class</c:v>
                </c:pt>
                <c:pt idx="1">
                  <c:v>Maths</c:v>
                </c:pt>
                <c:pt idx="2">
                  <c:v>Science</c:v>
                </c:pt>
                <c:pt idx="3">
                  <c:v>English</c:v>
                </c:pt>
                <c:pt idx="4">
                  <c:v>Social Studies</c:v>
                </c:pt>
                <c:pt idx="5">
                  <c:v>Computer</c:v>
                </c:pt>
                <c:pt idx="6">
                  <c:v>Minimum Marks</c:v>
                </c:pt>
                <c:pt idx="7">
                  <c:v>Maximum Marks</c:v>
                </c:pt>
                <c:pt idx="8">
                  <c:v>Total</c:v>
                </c:pt>
                <c:pt idx="9">
                  <c:v>Percentage</c:v>
                </c:pt>
                <c:pt idx="10">
                  <c:v>STATES</c:v>
                </c:pt>
              </c:strCache>
            </c:strRef>
          </c:cat>
          <c:val>
            <c:numRef>
              <c:f>Sheet1!$F$19:$P$19</c:f>
              <c:numCache>
                <c:formatCode>General</c:formatCode>
                <c:ptCount val="11"/>
                <c:pt idx="0">
                  <c:v>10</c:v>
                </c:pt>
                <c:pt idx="1">
                  <c:v>95</c:v>
                </c:pt>
                <c:pt idx="2">
                  <c:v>93</c:v>
                </c:pt>
                <c:pt idx="3">
                  <c:v>92</c:v>
                </c:pt>
                <c:pt idx="4">
                  <c:v>96</c:v>
                </c:pt>
                <c:pt idx="5">
                  <c:v>94</c:v>
                </c:pt>
                <c:pt idx="6">
                  <c:v>92</c:v>
                </c:pt>
                <c:pt idx="7">
                  <c:v>96</c:v>
                </c:pt>
                <c:pt idx="8">
                  <c:v>470</c:v>
                </c:pt>
                <c:pt idx="9">
                  <c:v>19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19D-4221-ABC6-CEA494B72C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339712"/>
        <c:axId val="13340128"/>
      </c:barChart>
      <c:catAx>
        <c:axId val="13339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0128"/>
        <c:crosses val="autoZero"/>
        <c:auto val="1"/>
        <c:lblAlgn val="ctr"/>
        <c:lblOffset val="100"/>
        <c:noMultiLvlLbl val="0"/>
      </c:catAx>
      <c:valAx>
        <c:axId val="1334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9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1143000</xdr:colOff>
      <xdr:row>20</xdr:row>
      <xdr:rowOff>142875</xdr:rowOff>
    </xdr:from>
    <xdr:to>
      <xdr:col>12</xdr:col>
      <xdr:colOff>304800</xdr:colOff>
      <xdr:row>35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Q1" refreshedDate="46053.639677546293" createdVersion="6" refreshedVersion="6" minRefreshableVersion="3" recordCount="8">
  <cacheSource type="worksheet">
    <worksheetSource ref="D11:P19" sheet="Sheet1"/>
  </cacheSource>
  <cacheFields count="13">
    <cacheField name="Roll No" numFmtId="0">
      <sharedItems containsSemiMixedTypes="0" containsString="0" containsNumber="1" containsInteger="1" minValue="101" maxValue="108"/>
    </cacheField>
    <cacheField name="Student Name" numFmtId="0">
      <sharedItems count="8">
        <s v="Aarav Sharma"/>
        <s v="Ananya Verma"/>
        <s v="Rahul Singh"/>
        <s v="Priya Patel"/>
        <s v="Kabir Mehta"/>
        <s v="Neha Gupta"/>
        <s v="Arjun Kumar"/>
        <s v="Ishita Roy"/>
      </sharedItems>
    </cacheField>
    <cacheField name="Class" numFmtId="0">
      <sharedItems containsSemiMixedTypes="0" containsString="0" containsNumber="1" containsInteger="1" minValue="10" maxValue="10"/>
    </cacheField>
    <cacheField name="Maths" numFmtId="0">
      <sharedItems containsSemiMixedTypes="0" containsString="0" containsNumber="1" containsInteger="1" minValue="35" maxValue="95" count="8">
        <n v="78"/>
        <n v="92"/>
        <n v="55"/>
        <n v="88"/>
        <n v="35"/>
        <n v="67"/>
        <n v="81"/>
        <n v="95"/>
      </sharedItems>
    </cacheField>
    <cacheField name="Science" numFmtId="0">
      <sharedItems containsSemiMixedTypes="0" containsString="0" containsNumber="1" containsInteger="1" minValue="40" maxValue="93" count="8">
        <n v="85"/>
        <n v="90"/>
        <n v="60"/>
        <n v="84"/>
        <n v="40"/>
        <n v="72"/>
        <n v="79"/>
        <n v="93"/>
      </sharedItems>
    </cacheField>
    <cacheField name="English" numFmtId="0">
      <sharedItems containsSemiMixedTypes="0" containsString="0" containsNumber="1" containsInteger="1" minValue="38" maxValue="92" count="8">
        <n v="74"/>
        <n v="89"/>
        <n v="58"/>
        <n v="90"/>
        <n v="38"/>
        <n v="70"/>
        <n v="85"/>
        <n v="92"/>
      </sharedItems>
    </cacheField>
    <cacheField name="Social Studies" numFmtId="0">
      <sharedItems containsSemiMixedTypes="0" containsString="0" containsNumber="1" containsInteger="1" minValue="42" maxValue="96" count="8">
        <n v="80"/>
        <n v="94"/>
        <n v="62"/>
        <n v="86"/>
        <n v="42"/>
        <n v="68"/>
        <n v="83"/>
        <n v="96"/>
      </sharedItems>
    </cacheField>
    <cacheField name="Computer" numFmtId="0">
      <sharedItems containsSemiMixedTypes="0" containsString="0" containsNumber="1" containsInteger="1" minValue="45" maxValue="94"/>
    </cacheField>
    <cacheField name="Minimum Marks" numFmtId="0">
      <sharedItems containsSemiMixedTypes="0" containsString="0" containsNumber="1" containsInteger="1" minValue="35" maxValue="92" count="8">
        <n v="74"/>
        <n v="89"/>
        <n v="55"/>
        <n v="84"/>
        <n v="35"/>
        <n v="67"/>
        <n v="79"/>
        <n v="92"/>
      </sharedItems>
    </cacheField>
    <cacheField name="Maximum Marks" numFmtId="0">
      <sharedItems containsSemiMixedTypes="0" containsString="0" containsNumber="1" containsInteger="1" minValue="45" maxValue="96" count="8">
        <n v="88"/>
        <n v="94"/>
        <n v="65"/>
        <n v="90"/>
        <n v="45"/>
        <n v="75"/>
        <n v="85"/>
        <n v="96"/>
      </sharedItems>
    </cacheField>
    <cacheField name="Total" numFmtId="0">
      <sharedItems containsSemiMixedTypes="0" containsString="0" containsNumber="1" containsInteger="1" minValue="200" maxValue="470" count="8">
        <n v="405"/>
        <n v="456"/>
        <n v="300"/>
        <n v="437"/>
        <n v="200"/>
        <n v="352"/>
        <n v="408"/>
        <n v="470"/>
      </sharedItems>
    </cacheField>
    <cacheField name="Percentage" numFmtId="0">
      <sharedItems containsSemiMixedTypes="0" containsString="0" containsNumber="1" minValue="7.0000000000000009" maxValue="19"/>
    </cacheField>
    <cacheField name="STATES" numFmtId="0">
      <sharedItems count="2">
        <s v="pass"/>
        <s v="fai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">
  <r>
    <n v="101"/>
    <x v="0"/>
    <n v="10"/>
    <x v="0"/>
    <x v="0"/>
    <x v="0"/>
    <x v="0"/>
    <n v="88"/>
    <x v="0"/>
    <x v="0"/>
    <x v="0"/>
    <n v="15.6"/>
    <x v="0"/>
  </r>
  <r>
    <n v="102"/>
    <x v="1"/>
    <n v="10"/>
    <x v="1"/>
    <x v="1"/>
    <x v="1"/>
    <x v="1"/>
    <n v="91"/>
    <x v="1"/>
    <x v="1"/>
    <x v="1"/>
    <n v="18.399999999999999"/>
    <x v="0"/>
  </r>
  <r>
    <n v="103"/>
    <x v="2"/>
    <n v="10"/>
    <x v="2"/>
    <x v="2"/>
    <x v="2"/>
    <x v="2"/>
    <n v="65"/>
    <x v="2"/>
    <x v="2"/>
    <x v="2"/>
    <n v="11"/>
    <x v="1"/>
  </r>
  <r>
    <n v="104"/>
    <x v="3"/>
    <n v="10"/>
    <x v="3"/>
    <x v="3"/>
    <x v="3"/>
    <x v="3"/>
    <n v="89"/>
    <x v="3"/>
    <x v="3"/>
    <x v="3"/>
    <n v="17.599999999999998"/>
    <x v="0"/>
  </r>
  <r>
    <n v="105"/>
    <x v="4"/>
    <n v="10"/>
    <x v="4"/>
    <x v="4"/>
    <x v="4"/>
    <x v="4"/>
    <n v="45"/>
    <x v="4"/>
    <x v="4"/>
    <x v="4"/>
    <n v="7.0000000000000009"/>
    <x v="1"/>
  </r>
  <r>
    <n v="106"/>
    <x v="5"/>
    <n v="10"/>
    <x v="5"/>
    <x v="5"/>
    <x v="5"/>
    <x v="5"/>
    <n v="75"/>
    <x v="5"/>
    <x v="5"/>
    <x v="5"/>
    <n v="13.4"/>
    <x v="1"/>
  </r>
  <r>
    <n v="107"/>
    <x v="6"/>
    <n v="10"/>
    <x v="6"/>
    <x v="6"/>
    <x v="6"/>
    <x v="6"/>
    <n v="80"/>
    <x v="6"/>
    <x v="6"/>
    <x v="6"/>
    <n v="16.2"/>
    <x v="0"/>
  </r>
  <r>
    <n v="108"/>
    <x v="7"/>
    <n v="10"/>
    <x v="7"/>
    <x v="7"/>
    <x v="7"/>
    <x v="7"/>
    <n v="94"/>
    <x v="7"/>
    <x v="7"/>
    <x v="7"/>
    <n v="1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6:D15" firstHeaderRow="0" firstDataRow="1" firstDataCol="1" rowPageCount="2" colPageCount="1"/>
  <pivotFields count="13">
    <pivotField showAll="0"/>
    <pivotField axis="axisRow" showAll="0">
      <items count="9">
        <item x="0"/>
        <item x="1"/>
        <item x="6"/>
        <item x="7"/>
        <item x="4"/>
        <item x="5"/>
        <item x="3"/>
        <item x="2"/>
        <item t="default"/>
      </items>
    </pivotField>
    <pivotField showAll="0"/>
    <pivotField showAll="0">
      <items count="9">
        <item x="4"/>
        <item x="2"/>
        <item x="5"/>
        <item x="0"/>
        <item x="6"/>
        <item x="3"/>
        <item x="1"/>
        <item x="7"/>
        <item t="default"/>
      </items>
    </pivotField>
    <pivotField showAll="0">
      <items count="9">
        <item x="4"/>
        <item x="2"/>
        <item x="5"/>
        <item x="6"/>
        <item x="3"/>
        <item x="0"/>
        <item x="1"/>
        <item x="7"/>
        <item t="default"/>
      </items>
    </pivotField>
    <pivotField showAll="0">
      <items count="9">
        <item x="4"/>
        <item x="2"/>
        <item x="5"/>
        <item x="0"/>
        <item x="6"/>
        <item x="1"/>
        <item x="3"/>
        <item x="7"/>
        <item t="default"/>
      </items>
    </pivotField>
    <pivotField showAll="0">
      <items count="9">
        <item x="4"/>
        <item x="2"/>
        <item x="5"/>
        <item x="0"/>
        <item x="6"/>
        <item x="3"/>
        <item x="1"/>
        <item x="7"/>
        <item t="default"/>
      </items>
    </pivotField>
    <pivotField showAll="0"/>
    <pivotField axis="axisPage" showAll="0">
      <items count="9">
        <item x="4"/>
        <item x="2"/>
        <item x="5"/>
        <item x="0"/>
        <item x="6"/>
        <item x="3"/>
        <item x="1"/>
        <item x="7"/>
        <item t="default"/>
      </items>
    </pivotField>
    <pivotField axis="axisPage" showAll="0">
      <items count="9">
        <item x="4"/>
        <item x="2"/>
        <item x="5"/>
        <item x="6"/>
        <item x="0"/>
        <item x="3"/>
        <item x="1"/>
        <item x="7"/>
        <item t="default"/>
      </items>
    </pivotField>
    <pivotField dataField="1" showAll="0">
      <items count="9">
        <item x="4"/>
        <item x="2"/>
        <item x="5"/>
        <item x="0"/>
        <item x="6"/>
        <item x="3"/>
        <item x="1"/>
        <item x="7"/>
        <item t="default"/>
      </items>
    </pivotField>
    <pivotField dataField="1" showAll="0"/>
    <pivotField dataField="1" showAll="0">
      <items count="3">
        <item x="1"/>
        <item x="0"/>
        <item t="default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8" hier="-1"/>
    <pageField fld="9" hier="-1"/>
  </pageFields>
  <dataFields count="3">
    <dataField name="Sum of Total" fld="10" baseField="0" baseItem="0"/>
    <dataField name="Sum of Percentage" fld="11" baseField="0" baseItem="0"/>
    <dataField name="Count of STATES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5"/>
  <sheetViews>
    <sheetView workbookViewId="0">
      <selection activeCell="U21" sqref="U21"/>
    </sheetView>
  </sheetViews>
  <sheetFormatPr defaultRowHeight="15" x14ac:dyDescent="0.25"/>
  <cols>
    <col min="1" max="1" width="15.7109375" customWidth="1"/>
    <col min="2" max="2" width="12" customWidth="1"/>
    <col min="3" max="3" width="17.85546875" customWidth="1"/>
    <col min="4" max="4" width="15.42578125" customWidth="1"/>
    <col min="5" max="5" width="5" customWidth="1"/>
    <col min="6" max="6" width="17" customWidth="1"/>
    <col min="7" max="7" width="22.85546875" customWidth="1"/>
    <col min="8" max="8" width="5.85546875" customWidth="1"/>
    <col min="9" max="9" width="8.85546875" customWidth="1"/>
    <col min="10" max="10" width="5.85546875" customWidth="1"/>
    <col min="11" max="11" width="8.85546875" customWidth="1"/>
    <col min="12" max="12" width="5.85546875" customWidth="1"/>
    <col min="13" max="13" width="8.85546875" customWidth="1"/>
    <col min="14" max="14" width="5.85546875" customWidth="1"/>
    <col min="15" max="15" width="8.85546875" customWidth="1"/>
    <col min="16" max="16" width="5.85546875" customWidth="1"/>
    <col min="17" max="17" width="8.85546875" customWidth="1"/>
    <col min="18" max="18" width="11.28515625" customWidth="1"/>
    <col min="19" max="19" width="12.28515625" bestFit="1" customWidth="1"/>
    <col min="20" max="20" width="8.85546875" customWidth="1"/>
    <col min="21" max="21" width="15.42578125" bestFit="1" customWidth="1"/>
    <col min="22" max="22" width="13.140625" bestFit="1" customWidth="1"/>
    <col min="23" max="23" width="8.85546875" customWidth="1"/>
    <col min="24" max="24" width="16.28515625" bestFit="1" customWidth="1"/>
    <col min="25" max="25" width="11.28515625" bestFit="1" customWidth="1"/>
  </cols>
  <sheetData>
    <row r="3" spans="1:4" x14ac:dyDescent="0.25">
      <c r="A3" s="12" t="s">
        <v>19</v>
      </c>
      <c r="B3" t="s">
        <v>31</v>
      </c>
    </row>
    <row r="4" spans="1:4" x14ac:dyDescent="0.25">
      <c r="A4" s="12" t="s">
        <v>20</v>
      </c>
      <c r="B4" t="s">
        <v>31</v>
      </c>
    </row>
    <row r="6" spans="1:4" x14ac:dyDescent="0.25">
      <c r="A6" s="12" t="s">
        <v>27</v>
      </c>
      <c r="B6" t="s">
        <v>28</v>
      </c>
      <c r="C6" t="s">
        <v>29</v>
      </c>
      <c r="D6" t="s">
        <v>30</v>
      </c>
    </row>
    <row r="7" spans="1:4" x14ac:dyDescent="0.25">
      <c r="A7" s="13" t="s">
        <v>10</v>
      </c>
      <c r="B7" s="14">
        <v>405</v>
      </c>
      <c r="C7" s="14">
        <v>15.6</v>
      </c>
      <c r="D7" s="14">
        <v>1</v>
      </c>
    </row>
    <row r="8" spans="1:4" x14ac:dyDescent="0.25">
      <c r="A8" s="13" t="s">
        <v>11</v>
      </c>
      <c r="B8" s="14">
        <v>456</v>
      </c>
      <c r="C8" s="14">
        <v>18.399999999999999</v>
      </c>
      <c r="D8" s="14">
        <v>1</v>
      </c>
    </row>
    <row r="9" spans="1:4" x14ac:dyDescent="0.25">
      <c r="A9" s="13" t="s">
        <v>16</v>
      </c>
      <c r="B9" s="14">
        <v>408</v>
      </c>
      <c r="C9" s="14">
        <v>16.2</v>
      </c>
      <c r="D9" s="14">
        <v>1</v>
      </c>
    </row>
    <row r="10" spans="1:4" x14ac:dyDescent="0.25">
      <c r="A10" s="13" t="s">
        <v>17</v>
      </c>
      <c r="B10" s="14">
        <v>470</v>
      </c>
      <c r="C10" s="14">
        <v>19</v>
      </c>
      <c r="D10" s="14">
        <v>1</v>
      </c>
    </row>
    <row r="11" spans="1:4" x14ac:dyDescent="0.25">
      <c r="A11" s="13" t="s">
        <v>14</v>
      </c>
      <c r="B11" s="14">
        <v>200</v>
      </c>
      <c r="C11" s="14">
        <v>7.0000000000000009</v>
      </c>
      <c r="D11" s="14">
        <v>1</v>
      </c>
    </row>
    <row r="12" spans="1:4" x14ac:dyDescent="0.25">
      <c r="A12" s="13" t="s">
        <v>15</v>
      </c>
      <c r="B12" s="14">
        <v>352</v>
      </c>
      <c r="C12" s="14">
        <v>13.4</v>
      </c>
      <c r="D12" s="14">
        <v>1</v>
      </c>
    </row>
    <row r="13" spans="1:4" x14ac:dyDescent="0.25">
      <c r="A13" s="13" t="s">
        <v>13</v>
      </c>
      <c r="B13" s="14">
        <v>437</v>
      </c>
      <c r="C13" s="14">
        <v>17.599999999999998</v>
      </c>
      <c r="D13" s="14">
        <v>1</v>
      </c>
    </row>
    <row r="14" spans="1:4" x14ac:dyDescent="0.25">
      <c r="A14" s="13" t="s">
        <v>12</v>
      </c>
      <c r="B14" s="14">
        <v>300</v>
      </c>
      <c r="C14" s="14">
        <v>11</v>
      </c>
      <c r="D14" s="14">
        <v>1</v>
      </c>
    </row>
    <row r="15" spans="1:4" x14ac:dyDescent="0.25">
      <c r="A15" s="13" t="s">
        <v>26</v>
      </c>
      <c r="B15" s="14">
        <v>3028</v>
      </c>
      <c r="C15" s="14">
        <v>118.2</v>
      </c>
      <c r="D15" s="14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1:Q25"/>
  <sheetViews>
    <sheetView tabSelected="1" topLeftCell="C1" workbookViewId="0">
      <selection activeCell="M7" sqref="M7"/>
    </sheetView>
  </sheetViews>
  <sheetFormatPr defaultRowHeight="15" x14ac:dyDescent="0.25"/>
  <cols>
    <col min="4" max="4" width="12.5703125" customWidth="1"/>
    <col min="5" max="5" width="23.42578125" customWidth="1"/>
    <col min="6" max="6" width="10.42578125" customWidth="1"/>
    <col min="7" max="7" width="17.140625" customWidth="1"/>
    <col min="8" max="8" width="11.140625" customWidth="1"/>
    <col min="9" max="9" width="17.85546875" customWidth="1"/>
    <col min="10" max="10" width="20.85546875" customWidth="1"/>
    <col min="11" max="11" width="18.42578125" customWidth="1"/>
    <col min="12" max="12" width="24" customWidth="1"/>
    <col min="13" max="13" width="24.28515625" customWidth="1"/>
    <col min="14" max="14" width="12.85546875" customWidth="1"/>
    <col min="15" max="15" width="18.42578125" customWidth="1"/>
    <col min="16" max="16" width="12.5703125" customWidth="1"/>
    <col min="17" max="17" width="11.85546875" customWidth="1"/>
    <col min="18" max="18" width="12.5703125" customWidth="1"/>
    <col min="19" max="19" width="14.28515625" customWidth="1"/>
  </cols>
  <sheetData>
    <row r="11" spans="4:16" ht="23.25" x14ac:dyDescent="0.35">
      <c r="D11" s="4" t="s">
        <v>0</v>
      </c>
      <c r="E11" s="4" t="s">
        <v>1</v>
      </c>
      <c r="F11" s="4" t="s">
        <v>2</v>
      </c>
      <c r="G11" s="4" t="s">
        <v>3</v>
      </c>
      <c r="H11" s="4" t="s">
        <v>4</v>
      </c>
      <c r="I11" s="4" t="s">
        <v>5</v>
      </c>
      <c r="J11" s="4" t="s">
        <v>6</v>
      </c>
      <c r="K11" s="4" t="s">
        <v>7</v>
      </c>
      <c r="L11" s="6" t="s">
        <v>19</v>
      </c>
      <c r="M11" s="6" t="s">
        <v>20</v>
      </c>
      <c r="N11" s="4" t="s">
        <v>8</v>
      </c>
      <c r="O11" s="4" t="s">
        <v>9</v>
      </c>
      <c r="P11" s="5" t="s">
        <v>18</v>
      </c>
    </row>
    <row r="12" spans="4:16" ht="15.75" x14ac:dyDescent="0.25">
      <c r="D12" s="2">
        <v>101</v>
      </c>
      <c r="E12" s="7" t="s">
        <v>10</v>
      </c>
      <c r="F12" s="3">
        <v>10</v>
      </c>
      <c r="G12" s="3">
        <v>78</v>
      </c>
      <c r="H12" s="3">
        <v>85</v>
      </c>
      <c r="I12" s="3">
        <v>74</v>
      </c>
      <c r="J12" s="3">
        <v>80</v>
      </c>
      <c r="K12" s="3">
        <v>88</v>
      </c>
      <c r="L12" s="3">
        <f>MIN(G12:K12)</f>
        <v>74</v>
      </c>
      <c r="M12" s="3">
        <f>MAX(G12:K12)</f>
        <v>88</v>
      </c>
      <c r="N12" s="3">
        <f>SUM(G12:K12)</f>
        <v>405</v>
      </c>
      <c r="O12" s="3">
        <f>G12/500*100</f>
        <v>15.6</v>
      </c>
      <c r="P12" t="str">
        <f>IF(O12&gt;15,"pass","fail")</f>
        <v>pass</v>
      </c>
    </row>
    <row r="13" spans="4:16" ht="15.75" x14ac:dyDescent="0.25">
      <c r="D13" s="2">
        <v>102</v>
      </c>
      <c r="E13" s="7" t="s">
        <v>11</v>
      </c>
      <c r="F13" s="3">
        <v>10</v>
      </c>
      <c r="G13" s="3">
        <v>92</v>
      </c>
      <c r="H13" s="3">
        <v>90</v>
      </c>
      <c r="I13" s="3">
        <v>89</v>
      </c>
      <c r="J13" s="3">
        <v>94</v>
      </c>
      <c r="K13" s="3">
        <v>91</v>
      </c>
      <c r="L13" s="3">
        <f t="shared" ref="L13:L19" si="0">MIN(G13:K13)</f>
        <v>89</v>
      </c>
      <c r="M13" s="3">
        <f t="shared" ref="M13:M19" si="1">MAX(G13:K13)</f>
        <v>94</v>
      </c>
      <c r="N13" s="3">
        <f>SUM(G13:K13)</f>
        <v>456</v>
      </c>
      <c r="O13" s="3">
        <f>G13/500*100</f>
        <v>18.399999999999999</v>
      </c>
      <c r="P13" t="str">
        <f t="shared" ref="P13:P19" si="2">IF(O13&gt;15,"pass","fail")</f>
        <v>pass</v>
      </c>
    </row>
    <row r="14" spans="4:16" ht="15.75" x14ac:dyDescent="0.25">
      <c r="D14" s="2">
        <v>103</v>
      </c>
      <c r="E14" s="7" t="s">
        <v>12</v>
      </c>
      <c r="F14" s="3">
        <v>10</v>
      </c>
      <c r="G14" s="3">
        <v>55</v>
      </c>
      <c r="H14" s="3">
        <v>60</v>
      </c>
      <c r="I14" s="3">
        <v>58</v>
      </c>
      <c r="J14" s="3">
        <v>62</v>
      </c>
      <c r="K14" s="3">
        <v>65</v>
      </c>
      <c r="L14" s="3">
        <f t="shared" si="0"/>
        <v>55</v>
      </c>
      <c r="M14" s="3">
        <f t="shared" si="1"/>
        <v>65</v>
      </c>
      <c r="N14" s="3">
        <f>SUM(G14:K14)</f>
        <v>300</v>
      </c>
      <c r="O14" s="3">
        <f>G14/500*100</f>
        <v>11</v>
      </c>
      <c r="P14" t="str">
        <f t="shared" si="2"/>
        <v>fail</v>
      </c>
    </row>
    <row r="15" spans="4:16" ht="15.75" x14ac:dyDescent="0.25">
      <c r="D15" s="2">
        <v>104</v>
      </c>
      <c r="E15" s="7" t="s">
        <v>13</v>
      </c>
      <c r="F15" s="3">
        <v>10</v>
      </c>
      <c r="G15" s="3">
        <v>88</v>
      </c>
      <c r="H15" s="3">
        <v>84</v>
      </c>
      <c r="I15" s="3">
        <v>90</v>
      </c>
      <c r="J15" s="3">
        <v>86</v>
      </c>
      <c r="K15" s="3">
        <v>89</v>
      </c>
      <c r="L15" s="3">
        <f t="shared" si="0"/>
        <v>84</v>
      </c>
      <c r="M15" s="3">
        <f t="shared" si="1"/>
        <v>90</v>
      </c>
      <c r="N15" s="3">
        <f>SUM(G15:K15)</f>
        <v>437</v>
      </c>
      <c r="O15" s="3">
        <f>G15/500*100</f>
        <v>17.599999999999998</v>
      </c>
      <c r="P15" t="str">
        <f t="shared" si="2"/>
        <v>pass</v>
      </c>
    </row>
    <row r="16" spans="4:16" ht="15.75" x14ac:dyDescent="0.25">
      <c r="D16" s="2">
        <v>105</v>
      </c>
      <c r="E16" s="7" t="s">
        <v>14</v>
      </c>
      <c r="F16" s="3">
        <v>10</v>
      </c>
      <c r="G16" s="3">
        <v>35</v>
      </c>
      <c r="H16" s="3">
        <v>40</v>
      </c>
      <c r="I16" s="3">
        <v>38</v>
      </c>
      <c r="J16" s="3">
        <v>42</v>
      </c>
      <c r="K16" s="3">
        <v>45</v>
      </c>
      <c r="L16" s="3">
        <f t="shared" si="0"/>
        <v>35</v>
      </c>
      <c r="M16" s="3">
        <f t="shared" si="1"/>
        <v>45</v>
      </c>
      <c r="N16" s="3">
        <f>SUM(G16:K16)</f>
        <v>200</v>
      </c>
      <c r="O16" s="3">
        <f>G16/500*100</f>
        <v>7.0000000000000009</v>
      </c>
      <c r="P16" t="str">
        <f t="shared" si="2"/>
        <v>fail</v>
      </c>
    </row>
    <row r="17" spans="2:17" ht="15.75" x14ac:dyDescent="0.25">
      <c r="D17" s="2">
        <v>106</v>
      </c>
      <c r="E17" s="7" t="s">
        <v>15</v>
      </c>
      <c r="F17" s="3">
        <v>10</v>
      </c>
      <c r="G17" s="3">
        <v>67</v>
      </c>
      <c r="H17" s="3">
        <v>72</v>
      </c>
      <c r="I17" s="3">
        <v>70</v>
      </c>
      <c r="J17" s="3">
        <v>68</v>
      </c>
      <c r="K17" s="3">
        <v>75</v>
      </c>
      <c r="L17" s="3">
        <f t="shared" si="0"/>
        <v>67</v>
      </c>
      <c r="M17" s="3">
        <f t="shared" si="1"/>
        <v>75</v>
      </c>
      <c r="N17" s="3">
        <f>SUM(G17:K17)</f>
        <v>352</v>
      </c>
      <c r="O17" s="3">
        <f>G17/500*100</f>
        <v>13.4</v>
      </c>
      <c r="P17" t="str">
        <f t="shared" si="2"/>
        <v>fail</v>
      </c>
    </row>
    <row r="18" spans="2:17" ht="15.75" x14ac:dyDescent="0.25">
      <c r="D18" s="2">
        <v>107</v>
      </c>
      <c r="E18" s="7" t="s">
        <v>16</v>
      </c>
      <c r="F18" s="3">
        <v>10</v>
      </c>
      <c r="G18" s="3">
        <v>81</v>
      </c>
      <c r="H18" s="3">
        <v>79</v>
      </c>
      <c r="I18" s="3">
        <v>85</v>
      </c>
      <c r="J18" s="3">
        <v>83</v>
      </c>
      <c r="K18" s="3">
        <v>80</v>
      </c>
      <c r="L18" s="3">
        <f t="shared" si="0"/>
        <v>79</v>
      </c>
      <c r="M18" s="3">
        <f t="shared" si="1"/>
        <v>85</v>
      </c>
      <c r="N18" s="3">
        <f>SUM(G18:K18)</f>
        <v>408</v>
      </c>
      <c r="O18" s="3">
        <f>G18/500*100</f>
        <v>16.2</v>
      </c>
      <c r="P18" t="str">
        <f t="shared" si="2"/>
        <v>pass</v>
      </c>
    </row>
    <row r="19" spans="2:17" ht="15.75" x14ac:dyDescent="0.25">
      <c r="D19" s="2">
        <v>108</v>
      </c>
      <c r="E19" s="7" t="s">
        <v>17</v>
      </c>
      <c r="F19" s="3">
        <v>10</v>
      </c>
      <c r="G19" s="3">
        <v>95</v>
      </c>
      <c r="H19" s="3">
        <v>93</v>
      </c>
      <c r="I19" s="3">
        <v>92</v>
      </c>
      <c r="J19" s="3">
        <v>96</v>
      </c>
      <c r="K19" s="3">
        <v>94</v>
      </c>
      <c r="L19" s="3">
        <f t="shared" si="0"/>
        <v>92</v>
      </c>
      <c r="M19" s="3">
        <f t="shared" si="1"/>
        <v>96</v>
      </c>
      <c r="N19" s="3">
        <f>SUM(G19:K19)</f>
        <v>470</v>
      </c>
      <c r="O19" s="3">
        <f>G19/500*100</f>
        <v>19</v>
      </c>
      <c r="P19" t="str">
        <f t="shared" si="2"/>
        <v>pass</v>
      </c>
    </row>
    <row r="20" spans="2:17" x14ac:dyDescent="0.25">
      <c r="B20" s="8" t="s">
        <v>24</v>
      </c>
      <c r="C20" s="1">
        <f>COUNT(D12:D19)</f>
        <v>8</v>
      </c>
      <c r="N20" s="10"/>
    </row>
    <row r="21" spans="2:17" x14ac:dyDescent="0.25">
      <c r="N21" s="8" t="s">
        <v>25</v>
      </c>
      <c r="P21" s="8" t="s">
        <v>23</v>
      </c>
      <c r="Q21" s="9">
        <f>COUNTIF(P12:P19,"PASS")</f>
        <v>5</v>
      </c>
    </row>
    <row r="22" spans="2:17" x14ac:dyDescent="0.25">
      <c r="N22" s="11">
        <f>SUMIF(N12:N19,"&gt;300",N12:N19)</f>
        <v>2528</v>
      </c>
    </row>
    <row r="24" spans="2:17" x14ac:dyDescent="0.25">
      <c r="E24" s="8" t="s">
        <v>22</v>
      </c>
      <c r="F24" s="8"/>
    </row>
    <row r="25" spans="2:17" x14ac:dyDescent="0.25">
      <c r="E25" s="1" t="s">
        <v>21</v>
      </c>
      <c r="F25" s="1">
        <f>VLOOKUP(E25,E12:O19,10,FALSE)</f>
        <v>470</v>
      </c>
    </row>
  </sheetData>
  <conditionalFormatting sqref="P12:P19 Q21">
    <cfRule type="containsText" dxfId="1" priority="1" operator="containsText" text="fail">
      <formula>NOT(ISERROR(SEARCH("fail",P12)))</formula>
    </cfRule>
    <cfRule type="containsText" dxfId="0" priority="2" operator="containsText" text="pass">
      <formula>NOT(ISERROR(SEARCH("pass",P12)))</formula>
    </cfRule>
  </conditionalFormatting>
  <dataValidations xWindow="873" yWindow="741" count="4">
    <dataValidation type="whole" allowBlank="1" showInputMessage="1" showErrorMessage="1" error="Please enter a number between 1 and 100 only._x000a_Other values are not allowed._x000a_" sqref="I34:K35">
      <formula1>1</formula1>
      <formula2>100</formula2>
    </dataValidation>
    <dataValidation allowBlank="1" showInputMessage="1" showErrorMessage="1" error="Please enter a number between 1 and 100 only._x000a_Other values are not allowed._x000a_" prompt="Please enter a number between 1 and 100 only._x000a_Other values are not allowed._x000a_" sqref="L23:L32"/>
    <dataValidation type="whole" allowBlank="1" showInputMessage="1" showErrorMessage="1" error="Please enter a number between 10 and 100 only._x000a_Other values are not allowed._x000a_" sqref="I22:K33">
      <formula1>10</formula1>
      <formula2>100</formula2>
    </dataValidation>
    <dataValidation type="whole" allowBlank="1" showInputMessage="1" showErrorMessage="1" error="Please enter a number between 100 and 200 only._x000a_Other values are not allowed._x000a_" sqref="D12:D19">
      <formula1>100</formula1>
      <formula2>200</formula2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BQ1</dc:creator>
  <cp:lastModifiedBy>BQ1</cp:lastModifiedBy>
  <dcterms:created xsi:type="dcterms:W3CDTF">2026-01-31T09:28:21Z</dcterms:created>
  <dcterms:modified xsi:type="dcterms:W3CDTF">2026-01-31T10:28:33Z</dcterms:modified>
</cp:coreProperties>
</file>